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Tracker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<sst xmlns="http://schemas.openxmlformats.org/spreadsheetml/2006/main" count="34" uniqueCount="34">
  <si>
    <t xml:space="preserve">Climate-Health Materiality Tracker</t>
  </si>
  <si>
    <t xml:space="preserve">Built by Syntropy Earth — part of the Syntropy Guide (syntropyearth.com/guide)</t>
  </si>
  <si>
    <t xml:space="preserve">What this is</t>
  </si>
  <si>
    <t xml:space="preserve">A structured way to identify which climate risks matter most to a specific health or access programme, before you commit budget to a response.</t>
  </si>
  <si>
    <t xml:space="preserve">How to use it</t>
  </si>
  <si>
    <t xml:space="preserve">Go to the 'Tracker' tab. For each row, name the risk factor, then score Likelihood and Severity from 1 (very low) to 5 (very high) based on your own operational knowledge. Only edit the yellow cells — everything else calculates automatically.</t>
  </si>
  <si>
    <t xml:space="preserve">The four dimensions</t>
  </si>
  <si>
    <t xml:space="preserve">Score risks across all four categories for a complete picture: Geographic &amp; Physical Access, Supply Chain Integrity, Workforce Availability, and Financial &amp; Demand Continuity.</t>
  </si>
  <si>
    <t xml:space="preserve">Reading the priority tier</t>
  </si>
  <si>
    <t xml:space="preserve">Score = Likelihood x Severity. 1-6 is Low priority, 7-14 is Medium, 15-25 is High. Focus budget conversations on the High tier first.</t>
  </si>
  <si>
    <t xml:space="preserve">What this doesn't replace</t>
  </si>
  <si>
    <t xml:space="preserve">This is a self-assessment starting point, not a substitute for a full diagnostic. Syntropy Earth's CAST engagement runs a fuller version of this scoring against a complete climate-health year, with external validation. Use this tracker to decide whether that's worth commissioning.</t>
  </si>
  <si>
    <t xml:space="preserve">A note on rigour</t>
  </si>
  <si>
    <t xml:space="preserve">Score honestly, not optimistically. The tracker is only useful if the numbers reflect what would actually happen under climate stress, not what the programme is designed to handle on paper.</t>
  </si>
  <si>
    <t xml:space="preserve">Dimension</t>
  </si>
  <si>
    <t xml:space="preserve">Risk Factor</t>
  </si>
  <si>
    <t xml:space="preserve">Likelihood (1-5)</t>
  </si>
  <si>
    <t xml:space="preserve">Severity (1-5)</t>
  </si>
  <si>
    <t xml:space="preserve">Score</t>
  </si>
  <si>
    <t xml:space="preserve">Priority Tier</t>
  </si>
  <si>
    <t xml:space="preserve">Notes / Evidence</t>
  </si>
  <si>
    <t xml:space="preserve">Geographic &amp; Physical Access</t>
  </si>
  <si>
    <t xml:space="preserve">Primary road access to clinic cut off during monsoon flooding</t>
  </si>
  <si>
    <t xml:space="preserve">Supply Chain Integrity</t>
  </si>
  <si>
    <t xml:space="preserve">Cold-chain medicine storage dependent on grid power with no backup during heatwave load-shedding</t>
  </si>
  <si>
    <t xml:space="preserve">Workforce Availability</t>
  </si>
  <si>
    <t xml:space="preserve">Field health workers unable to travel safely during extreme heat advisory days</t>
  </si>
  <si>
    <t xml:space="preserve">Financial &amp; Demand Continuity</t>
  </si>
  <si>
    <t xml:space="preserve">Patient co-pay affordability drops after crop-loss events in served districts</t>
  </si>
  <si>
    <t xml:space="preserve">Summary</t>
  </si>
  <si>
    <t xml:space="preserve">High priority risks</t>
  </si>
  <si>
    <t xml:space="preserve">Medium priority risks</t>
  </si>
  <si>
    <t xml:space="preserve">Low priority risks</t>
  </si>
  <si>
    <t xml:space="preserve">Source: scoring bands are a Syntropy Earth simplified methodology for self-assessment use. Full CAST diagnostic uses a weighted, externally-validated model across a complete climate-health year.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</si>
</sst>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4435"/>
      <name val="Arial"/>
      <family val="0"/>
      <charset val="1"/>
    </font>
    <font>
      <i val="true"/>
      <sz val="9"/>
      <color rgb="FF5C6A60"/>
      <name val="Arial"/>
      <family val="0"/>
      <charset val="1"/>
    </font>
    <font>
      <b val="true"/>
      <sz val="11"/>
      <color rgb="FF1E4435"/>
      <name val="Arial"/>
      <family val="0"/>
      <charset val="1"/>
    </font>
    <font>
      <sz val="10"/>
      <color rgb="FF22322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2"/>
      <color rgb="FF1E4435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9E3B2A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4435"/>
        <bgColor rgb="FF22322A"/>
      </patternFill>
    </fill>
    <fill>
      <patternFill patternType="solid">
        <fgColor rgb="FFFFF9E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4D9CC"/>
      </left>
      <right style="thin">
        <color rgb="FFC4D9CC"/>
      </right>
      <top style="thin">
        <color rgb="FFC4D9CC"/>
      </top>
      <bottom style="thin">
        <color rgb="FFC4D9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4D9CC"/>
      <rgbColor rgb="FF808080"/>
      <rgbColor rgb="FF9999FF"/>
      <rgbColor rgb="FF993366"/>
      <rgbColor rgb="FFFFF9E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C6A60"/>
      <rgbColor rgb="FF969696"/>
      <rgbColor rgb="FF003366"/>
      <rgbColor rgb="FF339966"/>
      <rgbColor rgb="FF003300"/>
      <rgbColor rgb="FF1E4435"/>
      <rgbColor rgb="FF9E3B2A"/>
      <rgbColor rgb="FF993366"/>
      <rgbColor rgb="FF333399"/>
      <rgbColor rgb="FF22322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0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39.75" hidden="false" customHeight="true" outlineLevel="0" collapsed="false">
      <c r="B6" s="4" t="s">
        <v>3</v>
      </c>
      <c r="C6" s="4"/>
      <c r="D6" s="4"/>
      <c r="E6" s="4"/>
      <c r="F6" s="4"/>
      <c r="G6" s="4"/>
      <c r="H6" s="4"/>
    </row>
    <row r="8" customFormat="false" ht="15" hidden="false" customHeight="false" outlineLevel="0" collapsed="false">
      <c r="B8" s="3" t="s">
        <v>4</v>
      </c>
    </row>
    <row r="9" customFormat="false" ht="39.75" hidden="false" customHeight="true" outlineLevel="0" collapsed="false">
      <c r="B9" s="4" t="s">
        <v>5</v>
      </c>
      <c r="C9" s="4"/>
      <c r="D9" s="4"/>
      <c r="E9" s="4"/>
      <c r="F9" s="4"/>
      <c r="G9" s="4"/>
      <c r="H9" s="4"/>
    </row>
    <row r="11" customFormat="false" ht="15" hidden="false" customHeight="false" outlineLevel="0" collapsed="false">
      <c r="B11" s="3" t="s">
        <v>6</v>
      </c>
    </row>
    <row r="12" customFormat="false" ht="39.75" hidden="false" customHeight="true" outlineLevel="0" collapsed="false">
      <c r="B12" s="4" t="s">
        <v>7</v>
      </c>
      <c r="C12" s="4"/>
      <c r="D12" s="4"/>
      <c r="E12" s="4"/>
      <c r="F12" s="4"/>
      <c r="G12" s="4"/>
      <c r="H12" s="4"/>
    </row>
    <row r="14" customFormat="false" ht="15" hidden="false" customHeight="false" outlineLevel="0" collapsed="false">
      <c r="B14" s="3" t="s">
        <v>8</v>
      </c>
    </row>
    <row r="15" customFormat="false" ht="39.75" hidden="false" customHeight="true" outlineLevel="0" collapsed="false">
      <c r="B15" s="4" t="s">
        <v>9</v>
      </c>
      <c r="C15" s="4"/>
      <c r="D15" s="4"/>
      <c r="E15" s="4"/>
      <c r="F15" s="4"/>
      <c r="G15" s="4"/>
      <c r="H15" s="4"/>
    </row>
    <row r="17" customFormat="false" ht="15" hidden="false" customHeight="false" outlineLevel="0" collapsed="false">
      <c r="B17" s="3" t="s">
        <v>10</v>
      </c>
    </row>
    <row r="18" customFormat="false" ht="39.75" hidden="false" customHeight="true" outlineLevel="0" collapsed="false">
      <c r="B18" s="4" t="s">
        <v>11</v>
      </c>
      <c r="C18" s="4"/>
      <c r="D18" s="4"/>
      <c r="E18" s="4"/>
      <c r="F18" s="4"/>
      <c r="G18" s="4"/>
      <c r="H18" s="4"/>
    </row>
    <row r="20" customFormat="false" ht="15" hidden="false" customHeight="false" outlineLevel="0" collapsed="false">
      <c r="B20" s="3" t="s">
        <v>12</v>
      </c>
    </row>
    <row r="21" customFormat="false" ht="39.75" hidden="false" customHeight="true" outlineLevel="0" collapsed="false">
      <c r="B21" s="4" t="s">
        <v>13</v>
      </c>
      <c r="C21" s="4"/>
      <c r="D21" s="4"/>
      <c r="E21" s="4"/>
      <c r="F21" s="4"/>
      <c r="G21" s="4"/>
      <c r="H21" s="4"/>
    </row>
  </sheetData>
  <mergeCells count="6">
    <mergeCell ref="B6:H6"/>
    <mergeCell ref="B9:H9"/>
    <mergeCell ref="B12:H12"/>
    <mergeCell ref="B15:H15"/>
    <mergeCell ref="B18:H18"/>
    <mergeCell ref="B21:H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8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9"/>
    <col collapsed="false" customWidth="true" hidden="false" outlineLevel="0" max="6" min="6" style="0" width="13"/>
    <col collapsed="false" customWidth="true" hidden="false" outlineLevel="0" max="7" min="7" style="0" width="40"/>
  </cols>
  <sheetData>
    <row r="2" customFormat="false" ht="15" hidden="false" customHeight="false" outlineLevel="0" collapsed="false">
      <c r="A2" s="5" t="s">
        <v>14</v>
      </c>
      <c r="B2" s="5" t="s">
        <v>15</v>
      </c>
      <c r="C2" s="5" t="s">
        <v>16</v>
      </c>
      <c r="D2" s="5" t="s">
        <v>17</v>
      </c>
      <c r="E2" s="5" t="s">
        <v>18</v>
      </c>
      <c r="F2" s="5" t="s">
        <v>19</v>
      </c>
      <c r="G2" s="5" t="s">
        <v>20</v>
      </c>
    </row>
    <row r="3" customFormat="false" ht="28.35" hidden="false" customHeight="false" outlineLevel="0" collapsed="false">
      <c r="A3" s="6" t="s">
        <v>21</v>
      </c>
      <c r="B3" s="6" t="s">
        <v>22</v>
      </c>
      <c r="C3" s="7" t="n">
        <v>4</v>
      </c>
      <c r="D3" s="7" t="n">
        <v>4</v>
      </c>
      <c r="E3" s="8" t="n">
        <f aca="false">C3*D3</f>
        <v>16</v>
      </c>
      <c r="F3" s="8" t="str">
        <f aca="false">IF(E3="","",IF(E3&gt;=15,"High",IF(E3&gt;=7,"Medium","Low")))</f>
        <v>High</v>
      </c>
      <c r="G3" s="7"/>
    </row>
    <row r="4" customFormat="false" ht="28.35" hidden="false" customHeight="false" outlineLevel="0" collapsed="false">
      <c r="A4" s="6" t="s">
        <v>23</v>
      </c>
      <c r="B4" s="6" t="s">
        <v>24</v>
      </c>
      <c r="C4" s="7" t="n">
        <v>3</v>
      </c>
      <c r="D4" s="7" t="n">
        <v>5</v>
      </c>
      <c r="E4" s="8" t="n">
        <f aca="false">C4*D4</f>
        <v>15</v>
      </c>
      <c r="F4" s="8" t="str">
        <f aca="false">IF(E4="","",IF(E4&gt;=15,"High",IF(E4&gt;=7,"Medium","Low")))</f>
        <v>High</v>
      </c>
      <c r="G4" s="7"/>
    </row>
    <row r="5" customFormat="false" ht="28.35" hidden="false" customHeight="false" outlineLevel="0" collapsed="false">
      <c r="A5" s="6" t="s">
        <v>25</v>
      </c>
      <c r="B5" s="6" t="s">
        <v>26</v>
      </c>
      <c r="C5" s="7" t="n">
        <v>4</v>
      </c>
      <c r="D5" s="7" t="n">
        <v>3</v>
      </c>
      <c r="E5" s="8" t="n">
        <f aca="false">C5*D5</f>
        <v>12</v>
      </c>
      <c r="F5" s="8" t="str">
        <f aca="false">IF(E5="","",IF(E5&gt;=15,"High",IF(E5&gt;=7,"Medium","Low")))</f>
        <v>Medium</v>
      </c>
      <c r="G5" s="7"/>
    </row>
    <row r="6" customFormat="false" ht="28.35" hidden="false" customHeight="false" outlineLevel="0" collapsed="false">
      <c r="A6" s="6" t="s">
        <v>27</v>
      </c>
      <c r="B6" s="6" t="s">
        <v>28</v>
      </c>
      <c r="C6" s="7" t="n">
        <v>3</v>
      </c>
      <c r="D6" s="7" t="n">
        <v>4</v>
      </c>
      <c r="E6" s="8" t="n">
        <f aca="false">C6*D6</f>
        <v>12</v>
      </c>
      <c r="F6" s="8" t="str">
        <f aca="false">IF(E6="","",IF(E6&gt;=15,"High",IF(E6&gt;=7,"Medium","Low")))</f>
        <v>Medium</v>
      </c>
      <c r="G6" s="7"/>
    </row>
    <row r="7" customFormat="false" ht="15" hidden="false" customHeight="false" outlineLevel="0" collapsed="false">
      <c r="A7" s="9"/>
      <c r="B7" s="9"/>
      <c r="C7" s="10"/>
      <c r="D7" s="10"/>
      <c r="E7" s="11" t="str">
        <f aca="false">IF(OR(C7="",D7=""),"",C7*D7)</f>
        <v/>
      </c>
      <c r="F7" s="11" t="str">
        <f aca="false">IF(E7="","",IF(E7&gt;=15,"High",IF(E7&gt;=7,"Medium","Low")))</f>
        <v/>
      </c>
      <c r="G7" s="10"/>
    </row>
    <row r="8" customFormat="false" ht="15" hidden="false" customHeight="false" outlineLevel="0" collapsed="false">
      <c r="A8" s="9"/>
      <c r="B8" s="9"/>
      <c r="C8" s="10"/>
      <c r="D8" s="10"/>
      <c r="E8" s="11" t="str">
        <f aca="false">IF(OR(C8="",D8=""),"",C8*D8)</f>
        <v/>
      </c>
      <c r="F8" s="11" t="str">
        <f aca="false">IF(E8="","",IF(E8&gt;=15,"High",IF(E8&gt;=7,"Medium","Low")))</f>
        <v/>
      </c>
      <c r="G8" s="10"/>
    </row>
    <row r="9" customFormat="false" ht="15" hidden="false" customHeight="false" outlineLevel="0" collapsed="false">
      <c r="A9" s="9"/>
      <c r="B9" s="9"/>
      <c r="C9" s="10"/>
      <c r="D9" s="10"/>
      <c r="E9" s="11" t="str">
        <f aca="false">IF(OR(C9="",D9=""),"",C9*D9)</f>
        <v/>
      </c>
      <c r="F9" s="11" t="str">
        <f aca="false">IF(E9="","",IF(E9&gt;=15,"High",IF(E9&gt;=7,"Medium","Low")))</f>
        <v/>
      </c>
      <c r="G9" s="10"/>
    </row>
    <row r="10" customFormat="false" ht="15" hidden="false" customHeight="false" outlineLevel="0" collapsed="false">
      <c r="A10" s="9"/>
      <c r="B10" s="9"/>
      <c r="C10" s="10"/>
      <c r="D10" s="10"/>
      <c r="E10" s="11" t="str">
        <f aca="false">IF(OR(C10="",D10=""),"",C10*D10)</f>
        <v/>
      </c>
      <c r="F10" s="11" t="str">
        <f aca="false">IF(E10="","",IF(E10&gt;=15,"High",IF(E10&gt;=7,"Medium","Low")))</f>
        <v/>
      </c>
      <c r="G10" s="10"/>
    </row>
    <row r="11" customFormat="false" ht="15" hidden="false" customHeight="false" outlineLevel="0" collapsed="false">
      <c r="A11" s="9"/>
      <c r="B11" s="9"/>
      <c r="C11" s="10"/>
      <c r="D11" s="10"/>
      <c r="E11" s="11" t="str">
        <f aca="false">IF(OR(C11="",D11=""),"",C11*D11)</f>
        <v/>
      </c>
      <c r="F11" s="11" t="str">
        <f aca="false">IF(E11="","",IF(E11&gt;=15,"High",IF(E11&gt;=7,"Medium","Low")))</f>
        <v/>
      </c>
      <c r="G11" s="10"/>
    </row>
    <row r="12" customFormat="false" ht="15" hidden="false" customHeight="false" outlineLevel="0" collapsed="false">
      <c r="A12" s="9"/>
      <c r="B12" s="9"/>
      <c r="C12" s="10"/>
      <c r="D12" s="10"/>
      <c r="E12" s="11" t="str">
        <f aca="false">IF(OR(C12="",D12=""),"",C12*D12)</f>
        <v/>
      </c>
      <c r="F12" s="11" t="str">
        <f aca="false">IF(E12="","",IF(E12&gt;=15,"High",IF(E12&gt;=7,"Medium","Low")))</f>
        <v/>
      </c>
      <c r="G12" s="10"/>
    </row>
    <row r="13" customFormat="false" ht="15" hidden="false" customHeight="false" outlineLevel="0" collapsed="false">
      <c r="A13" s="9"/>
      <c r="B13" s="9"/>
      <c r="C13" s="10"/>
      <c r="D13" s="10"/>
      <c r="E13" s="11" t="str">
        <f aca="false">IF(OR(C13="",D13=""),"",C13*D13)</f>
        <v/>
      </c>
      <c r="F13" s="11" t="str">
        <f aca="false">IF(E13="","",IF(E13&gt;=15,"High",IF(E13&gt;=7,"Medium","Low")))</f>
        <v/>
      </c>
      <c r="G13" s="10"/>
    </row>
    <row r="14" customFormat="false" ht="15" hidden="false" customHeight="false" outlineLevel="0" collapsed="false">
      <c r="A14" s="9"/>
      <c r="B14" s="9"/>
      <c r="C14" s="10"/>
      <c r="D14" s="10"/>
      <c r="E14" s="11" t="str">
        <f aca="false">IF(OR(C14="",D14=""),"",C14*D14)</f>
        <v/>
      </c>
      <c r="F14" s="11" t="str">
        <f aca="false">IF(E14="","",IF(E14&gt;=15,"High",IF(E14&gt;=7,"Medium","Low")))</f>
        <v/>
      </c>
      <c r="G14" s="10"/>
    </row>
    <row r="15" customFormat="false" ht="15" hidden="false" customHeight="false" outlineLevel="0" collapsed="false">
      <c r="A15" s="9"/>
      <c r="B15" s="9"/>
      <c r="C15" s="10"/>
      <c r="D15" s="10"/>
      <c r="E15" s="11" t="str">
        <f aca="false">IF(OR(C15="",D15=""),"",C15*D15)</f>
        <v/>
      </c>
      <c r="F15" s="11" t="str">
        <f aca="false">IF(E15="","",IF(E15&gt;=15,"High",IF(E15&gt;=7,"Medium","Low")))</f>
        <v/>
      </c>
      <c r="G15" s="10"/>
    </row>
    <row r="16" customFormat="false" ht="15" hidden="false" customHeight="false" outlineLevel="0" collapsed="false">
      <c r="A16" s="9"/>
      <c r="B16" s="9"/>
      <c r="C16" s="10"/>
      <c r="D16" s="10"/>
      <c r="E16" s="11" t="str">
        <f aca="false">IF(OR(C16="",D16=""),"",C16*D16)</f>
        <v/>
      </c>
      <c r="F16" s="11" t="str">
        <f aca="false">IF(E16="","",IF(E16&gt;=15,"High",IF(E16&gt;=7,"Medium","Low")))</f>
        <v/>
      </c>
      <c r="G16" s="10"/>
    </row>
    <row r="17" customFormat="false" ht="15" hidden="false" customHeight="false" outlineLevel="0" collapsed="false">
      <c r="A17" s="9"/>
      <c r="B17" s="9"/>
      <c r="C17" s="10"/>
      <c r="D17" s="10"/>
      <c r="E17" s="11" t="str">
        <f aca="false">IF(OR(C17="",D17=""),"",C17*D17)</f>
        <v/>
      </c>
      <c r="F17" s="11" t="str">
        <f aca="false">IF(E17="","",IF(E17&gt;=15,"High",IF(E17&gt;=7,"Medium","Low")))</f>
        <v/>
      </c>
      <c r="G17" s="10"/>
    </row>
    <row r="18" customFormat="false" ht="15" hidden="false" customHeight="false" outlineLevel="0" collapsed="false">
      <c r="A18" s="9"/>
      <c r="B18" s="9"/>
      <c r="C18" s="10"/>
      <c r="D18" s="10"/>
      <c r="E18" s="11" t="str">
        <f aca="false">IF(OR(C18="",D18=""),"",C18*D18)</f>
        <v/>
      </c>
      <c r="F18" s="11" t="str">
        <f aca="false">IF(E18="","",IF(E18&gt;=15,"High",IF(E18&gt;=7,"Medium","Low")))</f>
        <v/>
      </c>
      <c r="G18" s="10"/>
    </row>
    <row r="19" customFormat="false" ht="15" hidden="false" customHeight="false" outlineLevel="0" collapsed="false">
      <c r="A19" s="9"/>
      <c r="B19" s="9"/>
      <c r="C19" s="10"/>
      <c r="D19" s="10"/>
      <c r="E19" s="11" t="str">
        <f aca="false">IF(OR(C19="",D19=""),"",C19*D19)</f>
        <v/>
      </c>
      <c r="F19" s="11" t="str">
        <f aca="false">IF(E19="","",IF(E19&gt;=15,"High",IF(E19&gt;=7,"Medium","Low")))</f>
        <v/>
      </c>
      <c r="G19" s="10"/>
    </row>
    <row r="20" customFormat="false" ht="15" hidden="false" customHeight="false" outlineLevel="0" collapsed="false">
      <c r="A20" s="9"/>
      <c r="B20" s="9"/>
      <c r="C20" s="10"/>
      <c r="D20" s="10"/>
      <c r="E20" s="11" t="str">
        <f aca="false">IF(OR(C20="",D20=""),"",C20*D20)</f>
        <v/>
      </c>
      <c r="F20" s="11" t="str">
        <f aca="false">IF(E20="","",IF(E20&gt;=15,"High",IF(E20&gt;=7,"Medium","Low")))</f>
        <v/>
      </c>
      <c r="G20" s="10"/>
    </row>
    <row r="21" customFormat="false" ht="15" hidden="false" customHeight="false" outlineLevel="0" collapsed="false">
      <c r="A21" s="9"/>
      <c r="B21" s="9"/>
      <c r="C21" s="10"/>
      <c r="D21" s="10"/>
      <c r="E21" s="11" t="str">
        <f aca="false">IF(OR(C21="",D21=""),"",C21*D21)</f>
        <v/>
      </c>
      <c r="F21" s="11" t="str">
        <f aca="false">IF(E21="","",IF(E21&gt;=15,"High",IF(E21&gt;=7,"Medium","Low")))</f>
        <v/>
      </c>
      <c r="G21" s="10"/>
    </row>
    <row r="22" customFormat="false" ht="15" hidden="false" customHeight="false" outlineLevel="0" collapsed="false">
      <c r="A22" s="9"/>
      <c r="B22" s="9"/>
      <c r="C22" s="10"/>
      <c r="D22" s="10"/>
      <c r="E22" s="11" t="str">
        <f aca="false">IF(OR(C22="",D22=""),"",C22*D22)</f>
        <v/>
      </c>
      <c r="F22" s="11" t="str">
        <f aca="false">IF(E22="","",IF(E22&gt;=15,"High",IF(E22&gt;=7,"Medium","Low")))</f>
        <v/>
      </c>
      <c r="G22" s="10"/>
    </row>
    <row r="25" customFormat="false" ht="15" hidden="false" customHeight="false" outlineLevel="0" collapsed="false">
      <c r="A25" s="12" t="s">
        <v>29</v>
      </c>
    </row>
    <row r="26" customFormat="false" ht="15" hidden="false" customHeight="false" outlineLevel="0" collapsed="false">
      <c r="A26" s="13" t="s">
        <v>30</v>
      </c>
      <c r="B26" s="14" t="n">
        <f aca="false">COUNTIF(F3:F22,"High")</f>
        <v>2</v>
      </c>
    </row>
    <row r="27" customFormat="false" ht="15" hidden="false" customHeight="false" outlineLevel="0" collapsed="false">
      <c r="A27" s="13" t="s">
        <v>31</v>
      </c>
      <c r="B27" s="14" t="n">
        <f aca="false">COUNTIF(F3:F22,"Medium")</f>
        <v>2</v>
      </c>
    </row>
    <row r="28" customFormat="false" ht="15" hidden="false" customHeight="false" outlineLevel="0" collapsed="false">
      <c r="A28" s="13" t="s">
        <v>32</v>
      </c>
      <c r="B28" s="14" t="n">
        <f aca="false">COUNTIF(F3:F22,"Low")</f>
        <v>0</v>
      </c>
    </row>
    <row r="30" customFormat="false" ht="30" hidden="false" customHeight="true" outlineLevel="0" collapsed="false">
      <c r="A30" s="15" t="s">
        <v>33</v>
      </c>
      <c r="B30" s="15"/>
      <c r="C30" s="15"/>
      <c r="D30" s="15"/>
      <c r="E30" s="15"/>
      <c r="F30" s="15"/>
      <c r="G30" s="15"/>
    </row>
  </sheetData>
  <mergeCells count="1">
    <mergeCell ref="A30: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2026-07-15T08:06:46Z</dcterms:created>
  <dc:creator>openpyxl</dc:creator>
  <dc:description/>
  <dc:language>en-US</dc:language>
  <cp:lastModifiedBy/>
  <dcterms:modified xsi:type="dcterms:W3CDTF">2026-07-15T08:06:46Z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